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hidePivotFieldList="1"/>
  <xr:revisionPtr revIDLastSave="409" documentId="11_0B1D56BE9CDCCE836B02CE7A5FB0D4A9BBFD1C62" xr6:coauthVersionLast="47" xr6:coauthVersionMax="47" xr10:uidLastSave="{CBF72C31-45EE-4976-8F35-57CDBA95C3A0}"/>
  <bookViews>
    <workbookView xWindow="240" yWindow="105" windowWidth="14805" windowHeight="8010" firstSheet="1" activeTab="1" xr2:uid="{00000000-000D-0000-FFFF-FFFF00000000}"/>
  </bookViews>
  <sheets>
    <sheet name="pivot1" sheetId="3" r:id="rId1"/>
    <sheet name="Dashboard Sheet" sheetId="4" r:id="rId2"/>
    <sheet name="pivot2" sheetId="5" r:id="rId3"/>
    <sheet name="pivot3" sheetId="6" r:id="rId4"/>
    <sheet name="Dataset" sheetId="1" r:id="rId5"/>
    <sheet name="Product_Master" sheetId="2" r:id="rId6"/>
  </sheets>
  <definedNames>
    <definedName name="Slicer_City">#N/A</definedName>
    <definedName name="Slicer_Payment">#N/A</definedName>
    <definedName name="Slicer_Product">#N/A</definedName>
  </definedNames>
  <calcPr calcId="191028"/>
  <pivotCaches>
    <pivotCache cacheId="4357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4" l="1"/>
  <c r="A4" i="4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2" i="1"/>
  <c r="O5" i="1"/>
  <c r="O4" i="1"/>
  <c r="O2" i="1"/>
  <c r="O3" i="1"/>
  <c r="N5" i="1"/>
  <c r="N4" i="1"/>
  <c r="N2" i="1"/>
  <c r="N3" i="1"/>
  <c r="J3" i="1"/>
  <c r="J2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</calcChain>
</file>

<file path=xl/sharedStrings.xml><?xml version="1.0" encoding="utf-8"?>
<sst xmlns="http://schemas.openxmlformats.org/spreadsheetml/2006/main" count="250" uniqueCount="73">
  <si>
    <t>City</t>
  </si>
  <si>
    <t>Sum of Sales</t>
  </si>
  <si>
    <t>Bangalore</t>
  </si>
  <si>
    <t>Delhi</t>
  </si>
  <si>
    <t>Mumbai</t>
  </si>
  <si>
    <t>Pune</t>
  </si>
  <si>
    <t>Grand Total</t>
  </si>
  <si>
    <t>Total Revenue</t>
  </si>
  <si>
    <t>Total Orders</t>
  </si>
  <si>
    <t>Average Sales</t>
  </si>
  <si>
    <t>High Sales Orders</t>
  </si>
  <si>
    <t>Product</t>
  </si>
  <si>
    <t>Chair</t>
  </si>
  <si>
    <t>Headphones</t>
  </si>
  <si>
    <t>Laptop</t>
  </si>
  <si>
    <t>Mobile</t>
  </si>
  <si>
    <t>Table</t>
  </si>
  <si>
    <t>Payment</t>
  </si>
  <si>
    <t>Card</t>
  </si>
  <si>
    <t>Cash</t>
  </si>
  <si>
    <t>UPI</t>
  </si>
  <si>
    <t>Order_ID</t>
  </si>
  <si>
    <t>Customer</t>
  </si>
  <si>
    <t>Category</t>
  </si>
  <si>
    <t>Price</t>
  </si>
  <si>
    <t>Quantity</t>
  </si>
  <si>
    <t>Sales</t>
  </si>
  <si>
    <t>Standard Price</t>
  </si>
  <si>
    <t>Sales Type</t>
  </si>
  <si>
    <t>Order</t>
  </si>
  <si>
    <t>Revenue</t>
  </si>
  <si>
    <t>Amit</t>
  </si>
  <si>
    <t>Electronics</t>
  </si>
  <si>
    <t>Riya</t>
  </si>
  <si>
    <t>Karan</t>
  </si>
  <si>
    <t>Neha</t>
  </si>
  <si>
    <t>Furniture</t>
  </si>
  <si>
    <t>Rahul</t>
  </si>
  <si>
    <t>Sneha</t>
  </si>
  <si>
    <t>Vikas</t>
  </si>
  <si>
    <t>Pooja</t>
  </si>
  <si>
    <t>Arjun</t>
  </si>
  <si>
    <t>Meera</t>
  </si>
  <si>
    <t>Rohit</t>
  </si>
  <si>
    <t>Anjali</t>
  </si>
  <si>
    <t>Sumit</t>
  </si>
  <si>
    <t>Priya</t>
  </si>
  <si>
    <t>Kunal</t>
  </si>
  <si>
    <t>Simran</t>
  </si>
  <si>
    <t>Deepak</t>
  </si>
  <si>
    <t>Tanya</t>
  </si>
  <si>
    <t>Varun</t>
  </si>
  <si>
    <t>Nisha</t>
  </si>
  <si>
    <t>Aakash</t>
  </si>
  <si>
    <t>Ritu</t>
  </si>
  <si>
    <t>Harsh</t>
  </si>
  <si>
    <t>Sakshi</t>
  </si>
  <si>
    <t>Gaurav</t>
  </si>
  <si>
    <t>Divya</t>
  </si>
  <si>
    <t>Abhishek</t>
  </si>
  <si>
    <t>Radhika</t>
  </si>
  <si>
    <t>Manish</t>
  </si>
  <si>
    <t>Komal</t>
  </si>
  <si>
    <t>Raj</t>
  </si>
  <si>
    <t>Isha</t>
  </si>
  <si>
    <t>Kabir</t>
  </si>
  <si>
    <t>Payal</t>
  </si>
  <si>
    <t>Aditya</t>
  </si>
  <si>
    <t>Shreya</t>
  </si>
  <si>
    <t>Nitin</t>
  </si>
  <si>
    <t>Sonal</t>
  </si>
  <si>
    <t>Vivek</t>
  </si>
  <si>
    <t>Ankit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</si>
</sst>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NumberFormat="1"/>
    <xf numFmtId="0" fontId="3" fillId="2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 wrapText="1"/>
    </xf>
    <xf numFmtId="0" fontId="2" fillId="0" borderId="3" xfId="0" applyFont="1" applyFill="1" applyBorder="1" applyAlignment="1">
      <alignment horizontal="center" wrapText="1"/>
    </xf>
    <xf numFmtId="0" fontId="2" fillId="0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[SALES_DASHBOARD.xlsx]pivot1!PivotTable1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City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1CBF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1CBF3"/>
            </a:solidFill>
            <a:ln>
              <a:noFill/>
            </a:ln>
            <a:effectLst/>
          </c:spPr>
          <c:invertIfNegative val="0"/>
          <c:cat>
            <c:strRef>
              <c:f>pivot1!$A$4:$A$8</c:f>
              <c:strCache>
                <c:ptCount val="4"/>
                <c:pt idx="0">
                  <c:v>Bangalore</c:v>
                </c:pt>
                <c:pt idx="1">
                  <c:v>Delhi</c:v>
                </c:pt>
                <c:pt idx="2">
                  <c:v>Mumbai</c:v>
                </c:pt>
                <c:pt idx="3">
                  <c:v>Pune</c:v>
                </c:pt>
              </c:strCache>
            </c:strRef>
          </c:cat>
          <c:val>
            <c:numRef>
              <c:f>pivot1!$B$4:$B$8</c:f>
              <c:numCache>
                <c:formatCode>General</c:formatCode>
                <c:ptCount val="4"/>
                <c:pt idx="0">
                  <c:v>173900</c:v>
                </c:pt>
                <c:pt idx="1">
                  <c:v>306600</c:v>
                </c:pt>
                <c:pt idx="2">
                  <c:v>243200</c:v>
                </c:pt>
                <c:pt idx="3">
                  <c:v>169200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DC-481C-BF3A-C179844FC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11374343"/>
        <c:axId val="1111380487"/>
      </c:barChart>
      <c:catAx>
        <c:axId val="1111374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380487"/>
        <c:crosses val="autoZero"/>
        <c:auto val="1"/>
        <c:lblAlgn val="ctr"/>
        <c:lblOffset val="100"/>
        <c:noMultiLvlLbl val="0"/>
      </c:catAx>
      <c:valAx>
        <c:axId val="1111380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374343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[SALES_DASHBOARD.xlsx]pivot1!PivotTable1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City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1CBF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1CBF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1CBF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1CBF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1CBF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1CBF3"/>
            </a:solidFill>
            <a:ln>
              <a:noFill/>
            </a:ln>
            <a:effectLst/>
          </c:spPr>
          <c:invertIfNegative val="0"/>
          <c:cat>
            <c:strRef>
              <c:f>pivot1!$A$4:$A$8</c:f>
              <c:strCache>
                <c:ptCount val="4"/>
                <c:pt idx="0">
                  <c:v>Bangalore</c:v>
                </c:pt>
                <c:pt idx="1">
                  <c:v>Delhi</c:v>
                </c:pt>
                <c:pt idx="2">
                  <c:v>Mumbai</c:v>
                </c:pt>
                <c:pt idx="3">
                  <c:v>Pune</c:v>
                </c:pt>
              </c:strCache>
            </c:strRef>
          </c:cat>
          <c:val>
            <c:numRef>
              <c:f>pivot1!$B$4:$B$8</c:f>
              <c:numCache>
                <c:formatCode>General</c:formatCode>
                <c:ptCount val="4"/>
                <c:pt idx="0">
                  <c:v>173900</c:v>
                </c:pt>
                <c:pt idx="1">
                  <c:v>306600</c:v>
                </c:pt>
                <c:pt idx="2">
                  <c:v>243200</c:v>
                </c:pt>
                <c:pt idx="3">
                  <c:v>169200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96-4393-8C9D-F51AF4A14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11374343"/>
        <c:axId val="1111380487"/>
      </c:barChart>
      <c:catAx>
        <c:axId val="1111374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380487"/>
        <c:crosses val="autoZero"/>
        <c:auto val="1"/>
        <c:lblAlgn val="ctr"/>
        <c:lblOffset val="100"/>
        <c:noMultiLvlLbl val="0"/>
      </c:catAx>
      <c:valAx>
        <c:axId val="1111380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374343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[SALES_DASHBOARD.xlsx]pivot2!PivotTable2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A6C9E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A6C9E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A6C9E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A6C9E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A6C9E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A6C9EC"/>
            </a:solidFill>
            <a:ln>
              <a:noFill/>
            </a:ln>
            <a:effectLst/>
          </c:spPr>
          <c:invertIfNegative val="0"/>
          <c:cat>
            <c:strRef>
              <c:f>pivot2!$A$4:$A$9</c:f>
              <c:strCache>
                <c:ptCount val="5"/>
                <c:pt idx="0">
                  <c:v>Chair</c:v>
                </c:pt>
                <c:pt idx="1">
                  <c:v>Headphones</c:v>
                </c:pt>
                <c:pt idx="2">
                  <c:v>Laptop</c:v>
                </c:pt>
                <c:pt idx="3">
                  <c:v>Mobile</c:v>
                </c:pt>
                <c:pt idx="4">
                  <c:v>Table</c:v>
                </c:pt>
              </c:strCache>
            </c:strRef>
          </c:cat>
          <c:val>
            <c:numRef>
              <c:f>pivot2!$B$4:$B$9</c:f>
              <c:numCache>
                <c:formatCode>General</c:formatCode>
                <c:ptCount val="5"/>
                <c:pt idx="0">
                  <c:v>52700</c:v>
                </c:pt>
                <c:pt idx="1">
                  <c:v>61900</c:v>
                </c:pt>
                <c:pt idx="2">
                  <c:v>446000</c:v>
                </c:pt>
                <c:pt idx="3">
                  <c:v>259000</c:v>
                </c:pt>
                <c:pt idx="4">
                  <c:v>73300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D3-48DF-9608-7CDFF4A51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98628103"/>
        <c:axId val="1445003783"/>
      </c:barChart>
      <c:catAx>
        <c:axId val="1298628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003783"/>
        <c:crosses val="autoZero"/>
        <c:auto val="1"/>
        <c:lblAlgn val="ctr"/>
        <c:lblOffset val="100"/>
        <c:noMultiLvlLbl val="0"/>
      </c:catAx>
      <c:valAx>
        <c:axId val="1445003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628103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[SALES_DASHBOARD.xlsx]pivot3!PivotTable3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Method Sales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5C6AB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1A983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BD5015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7E350E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F5C6AB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1A983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BD5015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7E350E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F5C6AB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1A983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BD5015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7E350E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F5C6AB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1A983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BD5015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7E350E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F5C6AB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0F4762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215C98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82CAEC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5C6AB"/>
            </a:solidFill>
          </c:spPr>
          <c:dPt>
            <c:idx val="0"/>
            <c:bubble3D val="0"/>
            <c:spPr>
              <a:solidFill>
                <a:srgbClr val="0F476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F3E-4BF9-B387-7F493AB94DA5}"/>
              </c:ext>
            </c:extLst>
          </c:dPt>
          <c:dPt>
            <c:idx val="1"/>
            <c:bubble3D val="0"/>
            <c:spPr>
              <a:solidFill>
                <a:srgbClr val="215C9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F3E-4BF9-B387-7F493AB94DA5}"/>
              </c:ext>
            </c:extLst>
          </c:dPt>
          <c:dPt>
            <c:idx val="2"/>
            <c:bubble3D val="0"/>
            <c:spPr>
              <a:solidFill>
                <a:srgbClr val="82CAE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F3E-4BF9-B387-7F493AB94DA5}"/>
              </c:ext>
            </c:extLst>
          </c:dPt>
          <c:cat>
            <c:strRef>
              <c:f>pivot3!$A$4:$A$7</c:f>
              <c:strCache>
                <c:ptCount val="3"/>
                <c:pt idx="0">
                  <c:v>Card</c:v>
                </c:pt>
                <c:pt idx="1">
                  <c:v>Cash</c:v>
                </c:pt>
                <c:pt idx="2">
                  <c:v>UPI</c:v>
                </c:pt>
              </c:strCache>
            </c:strRef>
          </c:cat>
          <c:val>
            <c:numRef>
              <c:f>pivot3!$B$4:$B$7</c:f>
              <c:numCache>
                <c:formatCode>General</c:formatCode>
                <c:ptCount val="3"/>
                <c:pt idx="0">
                  <c:v>250000</c:v>
                </c:pt>
                <c:pt idx="1">
                  <c:v>208400</c:v>
                </c:pt>
                <c:pt idx="2">
                  <c:v>434500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F3E-4BF9-B387-7F493AB94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[SALES_DASHBOARD.xlsx]pivot2!PivotTable2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A6C9E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A6C9EC"/>
            </a:solidFill>
            <a:ln>
              <a:noFill/>
            </a:ln>
            <a:effectLst/>
          </c:spPr>
          <c:invertIfNegative val="0"/>
          <c:cat>
            <c:strRef>
              <c:f>pivot2!$A$4:$A$9</c:f>
              <c:strCache>
                <c:ptCount val="5"/>
                <c:pt idx="0">
                  <c:v>Chair</c:v>
                </c:pt>
                <c:pt idx="1">
                  <c:v>Headphones</c:v>
                </c:pt>
                <c:pt idx="2">
                  <c:v>Laptop</c:v>
                </c:pt>
                <c:pt idx="3">
                  <c:v>Mobile</c:v>
                </c:pt>
                <c:pt idx="4">
                  <c:v>Table</c:v>
                </c:pt>
              </c:strCache>
            </c:strRef>
          </c:cat>
          <c:val>
            <c:numRef>
              <c:f>pivot2!$B$4:$B$9</c:f>
              <c:numCache>
                <c:formatCode>General</c:formatCode>
                <c:ptCount val="5"/>
                <c:pt idx="0">
                  <c:v>52700</c:v>
                </c:pt>
                <c:pt idx="1">
                  <c:v>61900</c:v>
                </c:pt>
                <c:pt idx="2">
                  <c:v>446000</c:v>
                </c:pt>
                <c:pt idx="3">
                  <c:v>259000</c:v>
                </c:pt>
                <c:pt idx="4">
                  <c:v>73300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E0-44A4-8ED2-BB58460A4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98628103"/>
        <c:axId val="1445003783"/>
      </c:barChart>
      <c:catAx>
        <c:axId val="1298628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003783"/>
        <c:crosses val="autoZero"/>
        <c:auto val="1"/>
        <c:lblAlgn val="ctr"/>
        <c:lblOffset val="100"/>
        <c:noMultiLvlLbl val="0"/>
      </c:catAx>
      <c:valAx>
        <c:axId val="1445003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628103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[SALES_DASHBOARD.xlsx]pivot3!PivotTable3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Method Sales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5C6AB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1A983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BD5015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7E350E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5C6AB"/>
            </a:solidFill>
          </c:spPr>
          <c:dPt>
            <c:idx val="0"/>
            <c:bubble3D val="0"/>
            <c:spPr>
              <a:solidFill>
                <a:srgbClr val="F1A98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4F9-467D-BCC4-53A309C36886}"/>
              </c:ext>
            </c:extLst>
          </c:dPt>
          <c:dPt>
            <c:idx val="1"/>
            <c:bubble3D val="0"/>
            <c:spPr>
              <a:solidFill>
                <a:srgbClr val="BD501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4F9-467D-BCC4-53A309C36886}"/>
              </c:ext>
            </c:extLst>
          </c:dPt>
          <c:dPt>
            <c:idx val="2"/>
            <c:bubble3D val="0"/>
            <c:spPr>
              <a:solidFill>
                <a:srgbClr val="7E35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4F9-467D-BCC4-53A309C36886}"/>
              </c:ext>
            </c:extLst>
          </c:dPt>
          <c:cat>
            <c:strRef>
              <c:f>pivot3!$A$4:$A$7</c:f>
              <c:strCache>
                <c:ptCount val="3"/>
                <c:pt idx="0">
                  <c:v>Card</c:v>
                </c:pt>
                <c:pt idx="1">
                  <c:v>Cash</c:v>
                </c:pt>
                <c:pt idx="2">
                  <c:v>UPI</c:v>
                </c:pt>
              </c:strCache>
            </c:strRef>
          </c:cat>
          <c:val>
            <c:numRef>
              <c:f>pivot3!$B$4:$B$7</c:f>
              <c:numCache>
                <c:formatCode>General</c:formatCode>
                <c:ptCount val="3"/>
                <c:pt idx="0">
                  <c:v>250000</c:v>
                </c:pt>
                <c:pt idx="1">
                  <c:v>208400</c:v>
                </c:pt>
                <c:pt idx="2">
                  <c:v>434500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F9-467D-BCC4-53A309C368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371475</xdr:colOff>
      <xdr:row>0</xdr:row>
      <xdr:rowOff>152400</xdr:rowOff>
    </xdr:from>
    <xdr:to>
      <xdr:col>8</xdr:col>
      <xdr:colOff>285750</xdr:colOff>
      <xdr:row>10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95B04E-E84B-E5EB-D20C-63C9603CDB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304800</xdr:colOff>
      <xdr:row>10</xdr:row>
      <xdr:rowOff>142875</xdr:rowOff>
    </xdr:from>
    <xdr:to>
      <xdr:col>5</xdr:col>
      <xdr:colOff>304800</xdr:colOff>
      <xdr:row>18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ity">
              <a:extLst>
                <a:ext uri="{FF2B5EF4-FFF2-40B4-BE49-F238E27FC236}">
                  <a16:creationId xmlns:a16="http://schemas.microsoft.com/office/drawing/2014/main" id="{844FC974-E2CB-33ED-2CEA-D9E31A7CAE13}"/>
                </a:ext>
                <a:ext uri="{147F2762-F138-4A5C-976F-8EAC2B608ADB}">
                  <a16:predDERef xmlns:a16="http://schemas.microsoft.com/office/drawing/2014/main" pred="{9E95B04E-E84B-E5EB-D20C-63C9603CDB0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66900" y="2047875"/>
              <a:ext cx="1828800" cy="1390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19050</xdr:colOff>
      <xdr:row>8</xdr:row>
      <xdr:rowOff>57150</xdr:rowOff>
    </xdr:from>
    <xdr:to>
      <xdr:col>2</xdr:col>
      <xdr:colOff>285750</xdr:colOff>
      <xdr:row>16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Product">
              <a:extLst>
                <a:ext uri="{FF2B5EF4-FFF2-40B4-BE49-F238E27FC236}">
                  <a16:creationId xmlns:a16="http://schemas.microsoft.com/office/drawing/2014/main" id="{8321D1F9-FC73-CB7E-A52A-DBC057FD830C}"/>
                </a:ext>
                <a:ext uri="{147F2762-F138-4A5C-976F-8EAC2B608ADB}">
                  <a16:predDERef xmlns:a16="http://schemas.microsoft.com/office/drawing/2014/main" pred="{844FC974-E2CB-33ED-2CEA-D9E31A7CAE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0" y="1581150"/>
              <a:ext cx="1828800" cy="1600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 fLocksWithSheet="0"/>
  </xdr:twoCellAnchor>
  <xdr:twoCellAnchor editAs="oneCell">
    <xdr:from>
      <xdr:col>5</xdr:col>
      <xdr:colOff>323850</xdr:colOff>
      <xdr:row>10</xdr:row>
      <xdr:rowOff>142875</xdr:rowOff>
    </xdr:from>
    <xdr:to>
      <xdr:col>8</xdr:col>
      <xdr:colOff>323850</xdr:colOff>
      <xdr:row>17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Payment">
              <a:extLst>
                <a:ext uri="{FF2B5EF4-FFF2-40B4-BE49-F238E27FC236}">
                  <a16:creationId xmlns:a16="http://schemas.microsoft.com/office/drawing/2014/main" id="{F5E255D6-A62E-5A4E-A3F2-4C641650B3E4}"/>
                </a:ext>
                <a:ext uri="{147F2762-F138-4A5C-976F-8EAC2B608ADB}">
                  <a16:predDERef xmlns:a16="http://schemas.microsoft.com/office/drawing/2014/main" pred="{8321D1F9-FC73-CB7E-A52A-DBC057FD83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14750" y="2047875"/>
              <a:ext cx="1828800" cy="1257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3019425</xdr:colOff>
      <xdr:row>4</xdr:row>
      <xdr:rowOff>19050</xdr:rowOff>
    </xdr:from>
    <xdr:to>
      <xdr:col>4</xdr:col>
      <xdr:colOff>0</xdr:colOff>
      <xdr:row>17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1870DD-AB4D-4EB5-AD05-5145163061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76200</xdr:colOff>
      <xdr:row>4</xdr:row>
      <xdr:rowOff>38100</xdr:rowOff>
    </xdr:from>
    <xdr:to>
      <xdr:col>1</xdr:col>
      <xdr:colOff>2981325</xdr:colOff>
      <xdr:row>18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7D5CD6-CA6F-4E95-8B06-3CB1A5088343}"/>
            </a:ext>
            <a:ext uri="{147F2762-F138-4A5C-976F-8EAC2B608ADB}">
              <a16:predDERef xmlns:a16="http://schemas.microsoft.com/office/drawing/2014/main" pred="{891870DD-AB4D-4EB5-AD05-5145163061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57150</xdr:colOff>
      <xdr:row>18</xdr:row>
      <xdr:rowOff>0</xdr:rowOff>
    </xdr:from>
    <xdr:to>
      <xdr:col>1</xdr:col>
      <xdr:colOff>1428750</xdr:colOff>
      <xdr:row>29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AE4DC9-2FC0-4C65-9721-10324BD45AF2}"/>
            </a:ext>
            <a:ext uri="{147F2762-F138-4A5C-976F-8EAC2B608ADB}">
              <a16:predDERef xmlns:a16="http://schemas.microsoft.com/office/drawing/2014/main" pred="{A17D5CD6-CA6F-4E95-8B06-3CB1A50883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1514475</xdr:colOff>
      <xdr:row>18</xdr:row>
      <xdr:rowOff>28575</xdr:rowOff>
    </xdr:from>
    <xdr:to>
      <xdr:col>2</xdr:col>
      <xdr:colOff>962025</xdr:colOff>
      <xdr:row>29</xdr:row>
      <xdr:rowOff>180975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City 1">
              <a:extLst>
                <a:ext uri="{FF2B5EF4-FFF2-40B4-BE49-F238E27FC236}">
                  <a16:creationId xmlns:a16="http://schemas.microsoft.com/office/drawing/2014/main" id="{C9A9E743-3246-4C3E-82D6-5C86BC677C69}"/>
                </a:ext>
                <a:ext uri="{147F2762-F138-4A5C-976F-8EAC2B608ADB}">
                  <a16:predDERef xmlns:a16="http://schemas.microsoft.com/office/drawing/2014/main" pred="{03AE4DC9-2FC0-4C65-9721-10324BD45AF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48275" y="4048125"/>
              <a:ext cx="2686050" cy="2247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3</xdr:col>
      <xdr:colOff>38100</xdr:colOff>
      <xdr:row>18</xdr:row>
      <xdr:rowOff>9525</xdr:rowOff>
    </xdr:from>
    <xdr:to>
      <xdr:col>4</xdr:col>
      <xdr:colOff>0</xdr:colOff>
      <xdr:row>29</xdr:row>
      <xdr:rowOff>152400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Product 1">
              <a:extLst>
                <a:ext uri="{FF2B5EF4-FFF2-40B4-BE49-F238E27FC236}">
                  <a16:creationId xmlns:a16="http://schemas.microsoft.com/office/drawing/2014/main" id="{A715EF5C-39BB-3660-2EB5-38E0FBD8E986}"/>
                </a:ext>
                <a:ext uri="{147F2762-F138-4A5C-976F-8EAC2B608ADB}">
                  <a16:predDERef xmlns:a16="http://schemas.microsoft.com/office/drawing/2014/main" pred="{C9A9E743-3246-4C3E-82D6-5C86BC677C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68000" y="4029075"/>
              <a:ext cx="3228975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</xdr:col>
      <xdr:colOff>1123950</xdr:colOff>
      <xdr:row>18</xdr:row>
      <xdr:rowOff>28575</xdr:rowOff>
    </xdr:from>
    <xdr:to>
      <xdr:col>2</xdr:col>
      <xdr:colOff>3609975</xdr:colOff>
      <xdr:row>29</xdr:row>
      <xdr:rowOff>171450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Payment 1">
              <a:extLst>
                <a:ext uri="{FF2B5EF4-FFF2-40B4-BE49-F238E27FC236}">
                  <a16:creationId xmlns:a16="http://schemas.microsoft.com/office/drawing/2014/main" id="{0DF31275-5DDD-46DB-B7F6-79DF3E97EE33}"/>
                </a:ext>
                <a:ext uri="{147F2762-F138-4A5C-976F-8EAC2B608ADB}">
                  <a16:predDERef xmlns:a16="http://schemas.microsoft.com/office/drawing/2014/main" pred="{A715EF5C-39BB-3660-2EB5-38E0FBD8E98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96250" y="4048125"/>
              <a:ext cx="2486025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0</xdr:col>
      <xdr:colOff>0</xdr:colOff>
      <xdr:row>0</xdr:row>
      <xdr:rowOff>0</xdr:rowOff>
    </xdr:from>
    <xdr:to>
      <xdr:col>4</xdr:col>
      <xdr:colOff>9525</xdr:colOff>
      <xdr:row>2</xdr:row>
      <xdr:rowOff>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C4C4F8B-0398-13C2-6906-BC0494716AA1}"/>
            </a:ext>
            <a:ext uri="{147F2762-F138-4A5C-976F-8EAC2B608ADB}">
              <a16:predDERef xmlns:a16="http://schemas.microsoft.com/office/drawing/2014/main" pred="{0DF31275-5DDD-46DB-B7F6-79DF3E97EE33}"/>
            </a:ext>
          </a:extLst>
        </xdr:cNvPr>
        <xdr:cNvSpPr txBox="1"/>
      </xdr:nvSpPr>
      <xdr:spPr>
        <a:xfrm>
          <a:off x="0" y="0"/>
          <a:ext cx="14039850" cy="72390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2800" b="1" i="1" u="none" strike="noStrike">
              <a:solidFill>
                <a:srgbClr val="000000"/>
              </a:solidFill>
              <a:latin typeface="Aptos Narrow" panose="020B0004020202020204" pitchFamily="34" charset="0"/>
            </a:rPr>
            <a:t>                                                                </a:t>
          </a:r>
          <a:r>
            <a:rPr lang="en-US" sz="2800" b="1" i="1">
              <a:latin typeface="+mn-lt"/>
              <a:ea typeface="+mn-lt"/>
              <a:cs typeface="+mn-lt"/>
            </a:rPr>
            <a:t>Sales Performance Dashboard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4</xdr:row>
      <xdr:rowOff>152400</xdr:rowOff>
    </xdr:from>
    <xdr:to>
      <xdr:col>7</xdr:col>
      <xdr:colOff>0</xdr:colOff>
      <xdr:row>19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411C05-FC74-07D7-5783-A8F603D3C1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733425</xdr:colOff>
      <xdr:row>4</xdr:row>
      <xdr:rowOff>152400</xdr:rowOff>
    </xdr:from>
    <xdr:to>
      <xdr:col>6</xdr:col>
      <xdr:colOff>600075</xdr:colOff>
      <xdr:row>19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9DEC48-4420-C841-D453-AAE0086D57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89.923570254628" createdVersion="8" refreshedVersion="8" minRefreshableVersion="3" recordCount="40" xr:uid="{E707C224-4097-473F-8CA6-50CDA54D5CB3}">
  <cacheSource type="worksheet">
    <worksheetSource name="Table1"/>
  </cacheSource>
  <cacheFields count="10">
    <cacheField name="Order_ID" numFmtId="0">
      <sharedItems containsSemiMixedTypes="0" containsString="0" containsNumber="1" containsInteger="1" minValue="1001" maxValue="1040"/>
    </cacheField>
    <cacheField name="Customer" numFmtId="0">
      <sharedItems/>
    </cacheField>
    <cacheField name="City" numFmtId="0">
      <sharedItems count="4">
        <s v="Delhi"/>
        <s v="Mumbai"/>
        <s v="Pune"/>
        <s v="Bangalore"/>
      </sharedItems>
    </cacheField>
    <cacheField name="Product" numFmtId="0">
      <sharedItems count="5">
        <s v="Laptop"/>
        <s v="Mobile"/>
        <s v="Headphones"/>
        <s v="Chair"/>
        <s v="Table"/>
      </sharedItems>
    </cacheField>
    <cacheField name="Category" numFmtId="0">
      <sharedItems count="2">
        <s v="Electronics"/>
        <s v="Furniture"/>
      </sharedItems>
    </cacheField>
    <cacheField name="Price" numFmtId="0">
      <sharedItems containsSemiMixedTypes="0" containsString="0" containsNumber="1" containsInteger="1" minValue="3000" maxValue="58000"/>
    </cacheField>
    <cacheField name="Quantity" numFmtId="0">
      <sharedItems containsSemiMixedTypes="0" containsString="0" containsNumber="1" containsInteger="1" minValue="1" maxValue="3"/>
    </cacheField>
    <cacheField name="Sales" numFmtId="0">
      <sharedItems containsSemiMixedTypes="0" containsString="0" containsNumber="1" containsInteger="1" minValue="4600" maxValue="58000"/>
    </cacheField>
    <cacheField name="Payment" numFmtId="0">
      <sharedItems count="3">
        <s v="UPI"/>
        <s v="Card"/>
        <s v="Cash"/>
      </sharedItems>
    </cacheField>
    <cacheField name="Standard Price" numFmtId="0">
      <sharedItems containsSemiMixedTypes="0" containsString="0" containsNumber="1" containsInteger="1" minValue="3200" maxValue="55000"/>
    </cacheField>
  </cacheFields>
  <extLst>
    <ext xmlns:x14="http://schemas.microsoft.com/office/spreadsheetml/2009/9/main" uri="{725AE2AE-9491-48be-B2B4-4EB974FC3084}">
      <x14:pivotCacheDefinition pivotCacheId="128432925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1001"/>
    <s v="Amit"/>
    <x v="0"/>
    <x v="0"/>
    <x v="0"/>
    <n v="55000"/>
    <n v="1"/>
    <n v="55000"/>
    <x v="0"/>
    <n v="55000"/>
  </r>
  <r>
    <n v="1002"/>
    <s v="Riya"/>
    <x v="1"/>
    <x v="1"/>
    <x v="0"/>
    <n v="20000"/>
    <n v="2"/>
    <n v="40000"/>
    <x v="1"/>
    <n v="22000"/>
  </r>
  <r>
    <n v="1003"/>
    <s v="Karan"/>
    <x v="0"/>
    <x v="2"/>
    <x v="0"/>
    <n v="3000"/>
    <n v="3"/>
    <n v="9000"/>
    <x v="2"/>
    <n v="3200"/>
  </r>
  <r>
    <n v="1004"/>
    <s v="Neha"/>
    <x v="2"/>
    <x v="3"/>
    <x v="1"/>
    <n v="4500"/>
    <n v="2"/>
    <n v="9000"/>
    <x v="0"/>
    <n v="4800"/>
  </r>
  <r>
    <n v="1005"/>
    <s v="Rahul"/>
    <x v="0"/>
    <x v="4"/>
    <x v="1"/>
    <n v="7000"/>
    <n v="1"/>
    <n v="7000"/>
    <x v="1"/>
    <n v="7500"/>
  </r>
  <r>
    <n v="1006"/>
    <s v="Sneha"/>
    <x v="3"/>
    <x v="0"/>
    <x v="0"/>
    <n v="56000"/>
    <n v="1"/>
    <n v="56000"/>
    <x v="0"/>
    <n v="55000"/>
  </r>
  <r>
    <n v="1007"/>
    <s v="Vikas"/>
    <x v="1"/>
    <x v="1"/>
    <x v="0"/>
    <n v="22000"/>
    <n v="2"/>
    <n v="44000"/>
    <x v="2"/>
    <n v="22000"/>
  </r>
  <r>
    <n v="1008"/>
    <s v="Pooja"/>
    <x v="2"/>
    <x v="3"/>
    <x v="1"/>
    <n v="4800"/>
    <n v="1"/>
    <n v="4800"/>
    <x v="0"/>
    <n v="4800"/>
  </r>
  <r>
    <n v="1009"/>
    <s v="Arjun"/>
    <x v="0"/>
    <x v="4"/>
    <x v="1"/>
    <n v="7500"/>
    <n v="1"/>
    <n v="7500"/>
    <x v="1"/>
    <n v="7500"/>
  </r>
  <r>
    <n v="1010"/>
    <s v="Meera"/>
    <x v="3"/>
    <x v="2"/>
    <x v="0"/>
    <n v="3200"/>
    <n v="2"/>
    <n v="6400"/>
    <x v="0"/>
    <n v="3200"/>
  </r>
  <r>
    <n v="1011"/>
    <s v="Rohit"/>
    <x v="0"/>
    <x v="0"/>
    <x v="0"/>
    <n v="54000"/>
    <n v="1"/>
    <n v="54000"/>
    <x v="1"/>
    <n v="55000"/>
  </r>
  <r>
    <n v="1012"/>
    <s v="Anjali"/>
    <x v="1"/>
    <x v="1"/>
    <x v="0"/>
    <n v="21000"/>
    <n v="1"/>
    <n v="21000"/>
    <x v="0"/>
    <n v="22000"/>
  </r>
  <r>
    <n v="1013"/>
    <s v="Sumit"/>
    <x v="2"/>
    <x v="4"/>
    <x v="1"/>
    <n v="7200"/>
    <n v="2"/>
    <n v="14400"/>
    <x v="2"/>
    <n v="7500"/>
  </r>
  <r>
    <n v="1014"/>
    <s v="Priya"/>
    <x v="0"/>
    <x v="3"/>
    <x v="1"/>
    <n v="4600"/>
    <n v="1"/>
    <n v="4600"/>
    <x v="0"/>
    <n v="4800"/>
  </r>
  <r>
    <n v="1015"/>
    <s v="Kunal"/>
    <x v="3"/>
    <x v="2"/>
    <x v="0"/>
    <n v="3500"/>
    <n v="2"/>
    <n v="7000"/>
    <x v="1"/>
    <n v="3200"/>
  </r>
  <r>
    <n v="1016"/>
    <s v="Simran"/>
    <x v="1"/>
    <x v="0"/>
    <x v="0"/>
    <n v="57000"/>
    <n v="1"/>
    <n v="57000"/>
    <x v="0"/>
    <n v="55000"/>
  </r>
  <r>
    <n v="1017"/>
    <s v="Deepak"/>
    <x v="0"/>
    <x v="1"/>
    <x v="0"/>
    <n v="23000"/>
    <n v="1"/>
    <n v="23000"/>
    <x v="2"/>
    <n v="22000"/>
  </r>
  <r>
    <n v="1018"/>
    <s v="Tanya"/>
    <x v="2"/>
    <x v="3"/>
    <x v="1"/>
    <n v="5000"/>
    <n v="2"/>
    <n v="10000"/>
    <x v="0"/>
    <n v="4800"/>
  </r>
  <r>
    <n v="1019"/>
    <s v="Varun"/>
    <x v="3"/>
    <x v="4"/>
    <x v="1"/>
    <n v="7600"/>
    <n v="1"/>
    <n v="7600"/>
    <x v="1"/>
    <n v="7500"/>
  </r>
  <r>
    <n v="1020"/>
    <s v="Nisha"/>
    <x v="0"/>
    <x v="2"/>
    <x v="0"/>
    <n v="3100"/>
    <n v="3"/>
    <n v="9300"/>
    <x v="0"/>
    <n v="3200"/>
  </r>
  <r>
    <n v="1021"/>
    <s v="Aakash"/>
    <x v="1"/>
    <x v="0"/>
    <x v="0"/>
    <n v="55000"/>
    <n v="1"/>
    <n v="55000"/>
    <x v="1"/>
    <n v="55000"/>
  </r>
  <r>
    <n v="1022"/>
    <s v="Ritu"/>
    <x v="2"/>
    <x v="1"/>
    <x v="0"/>
    <n v="20000"/>
    <n v="1"/>
    <n v="20000"/>
    <x v="0"/>
    <n v="22000"/>
  </r>
  <r>
    <n v="1023"/>
    <s v="Harsh"/>
    <x v="0"/>
    <x v="4"/>
    <x v="1"/>
    <n v="7100"/>
    <n v="1"/>
    <n v="7100"/>
    <x v="2"/>
    <n v="7500"/>
  </r>
  <r>
    <n v="1024"/>
    <s v="Sakshi"/>
    <x v="3"/>
    <x v="3"/>
    <x v="1"/>
    <n v="4800"/>
    <n v="2"/>
    <n v="9600"/>
    <x v="0"/>
    <n v="4800"/>
  </r>
  <r>
    <n v="1025"/>
    <s v="Gaurav"/>
    <x v="1"/>
    <x v="2"/>
    <x v="0"/>
    <n v="3300"/>
    <n v="2"/>
    <n v="6600"/>
    <x v="1"/>
    <n v="3200"/>
  </r>
  <r>
    <n v="1026"/>
    <s v="Divya"/>
    <x v="0"/>
    <x v="0"/>
    <x v="0"/>
    <n v="56000"/>
    <n v="1"/>
    <n v="56000"/>
    <x v="0"/>
    <n v="55000"/>
  </r>
  <r>
    <n v="1027"/>
    <s v="Abhishek"/>
    <x v="2"/>
    <x v="1"/>
    <x v="0"/>
    <n v="22000"/>
    <n v="2"/>
    <n v="44000"/>
    <x v="2"/>
    <n v="22000"/>
  </r>
  <r>
    <n v="1028"/>
    <s v="Radhika"/>
    <x v="3"/>
    <x v="4"/>
    <x v="1"/>
    <n v="7500"/>
    <n v="1"/>
    <n v="7500"/>
    <x v="0"/>
    <n v="7500"/>
  </r>
  <r>
    <n v="1029"/>
    <s v="Manish"/>
    <x v="0"/>
    <x v="3"/>
    <x v="1"/>
    <n v="4700"/>
    <n v="1"/>
    <n v="4700"/>
    <x v="1"/>
    <n v="4800"/>
  </r>
  <r>
    <n v="1030"/>
    <s v="Komal"/>
    <x v="1"/>
    <x v="2"/>
    <x v="0"/>
    <n v="3200"/>
    <n v="3"/>
    <n v="9600"/>
    <x v="0"/>
    <n v="3200"/>
  </r>
  <r>
    <n v="1031"/>
    <s v="Raj"/>
    <x v="0"/>
    <x v="0"/>
    <x v="0"/>
    <n v="55000"/>
    <n v="1"/>
    <n v="55000"/>
    <x v="2"/>
    <n v="55000"/>
  </r>
  <r>
    <n v="1032"/>
    <s v="Isha"/>
    <x v="2"/>
    <x v="1"/>
    <x v="0"/>
    <n v="21000"/>
    <n v="1"/>
    <n v="21000"/>
    <x v="0"/>
    <n v="22000"/>
  </r>
  <r>
    <n v="1033"/>
    <s v="Kabir"/>
    <x v="3"/>
    <x v="4"/>
    <x v="1"/>
    <n v="7300"/>
    <n v="2"/>
    <n v="14600"/>
    <x v="1"/>
    <n v="7500"/>
  </r>
  <r>
    <n v="1034"/>
    <s v="Payal"/>
    <x v="1"/>
    <x v="3"/>
    <x v="1"/>
    <n v="4900"/>
    <n v="1"/>
    <n v="4900"/>
    <x v="0"/>
    <n v="4800"/>
  </r>
  <r>
    <n v="1035"/>
    <s v="Aditya"/>
    <x v="0"/>
    <x v="2"/>
    <x v="0"/>
    <n v="3400"/>
    <n v="2"/>
    <n v="6800"/>
    <x v="2"/>
    <n v="3200"/>
  </r>
  <r>
    <n v="1036"/>
    <s v="Shreya"/>
    <x v="3"/>
    <x v="0"/>
    <x v="0"/>
    <n v="58000"/>
    <n v="1"/>
    <n v="58000"/>
    <x v="0"/>
    <n v="55000"/>
  </r>
  <r>
    <n v="1037"/>
    <s v="Nitin"/>
    <x v="2"/>
    <x v="1"/>
    <x v="0"/>
    <n v="23000"/>
    <n v="2"/>
    <n v="46000"/>
    <x v="1"/>
    <n v="22000"/>
  </r>
  <r>
    <n v="1038"/>
    <s v="Sonal"/>
    <x v="0"/>
    <x v="4"/>
    <x v="1"/>
    <n v="7600"/>
    <n v="1"/>
    <n v="7600"/>
    <x v="0"/>
    <n v="7500"/>
  </r>
  <r>
    <n v="1039"/>
    <s v="Vivek"/>
    <x v="1"/>
    <x v="3"/>
    <x v="1"/>
    <n v="5100"/>
    <n v="1"/>
    <n v="5100"/>
    <x v="2"/>
    <n v="4800"/>
  </r>
  <r>
    <n v="1040"/>
    <s v="Ankit"/>
    <x v="3"/>
    <x v="2"/>
    <x v="0"/>
    <n v="3600"/>
    <n v="2"/>
    <n v="7200"/>
    <x v="0"/>
    <n v="3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9E32DE-B059-4AB1-B21F-5CD95B385BE9}" name="PivotTable1" cacheId="43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8" firstHeaderRow="1" firstDataRow="1" firstDataCol="1"/>
  <pivotFields count="10">
    <pivotField compact="0" outline="0" showAll="0"/>
    <pivotField compact="0" outline="0" showAll="0"/>
    <pivotField axis="axisRow" compact="0" outline="0" showAll="0">
      <items count="5">
        <item x="3"/>
        <item x="0"/>
        <item x="1"/>
        <item x="2"/>
        <item t="default"/>
      </items>
    </pivotField>
    <pivotField compact="0" outline="0" showAll="0">
      <items count="6">
        <item x="3"/>
        <item x="2"/>
        <item x="0"/>
        <item x="1"/>
        <item x="4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>
      <items count="4">
        <item x="1"/>
        <item x="2"/>
        <item x="0"/>
        <item t="default"/>
      </items>
    </pivotField>
    <pivotField compact="0" outline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7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E6BB90-0908-4975-B909-E560E0DE6DD7}" name="PivotTable2" cacheId="43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9" firstHeaderRow="1" firstDataRow="1" firstDataCol="1"/>
  <pivotFields count="10">
    <pivotField compact="0" outline="0" showAll="0"/>
    <pivotField compact="0" outline="0" showAll="0"/>
    <pivotField compact="0" outline="0" showAll="0">
      <items count="5">
        <item x="3"/>
        <item x="0"/>
        <item x="1"/>
        <item x="2"/>
        <item t="default"/>
      </items>
    </pivotField>
    <pivotField axis="axisRow" compact="0" outline="0" showAll="0">
      <items count="6">
        <item x="3"/>
        <item x="2"/>
        <item x="0"/>
        <item x="1"/>
        <item x="4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>
      <items count="4">
        <item x="1"/>
        <item x="2"/>
        <item x="0"/>
        <item t="default"/>
      </items>
    </pivotField>
    <pivotField compact="0" outline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7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1AF691-73DE-4F9A-9DC0-AE9E259288FD}" name="PivotTable3" cacheId="43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7">
  <location ref="A3:B7" firstHeaderRow="1" firstDataRow="1" firstDataCol="1"/>
  <pivotFields count="10">
    <pivotField compact="0" outline="0" showAll="0"/>
    <pivotField compact="0" outline="0" showAll="0"/>
    <pivotField compact="0" outline="0" showAll="0">
      <items count="5">
        <item x="3"/>
        <item x="0"/>
        <item x="1"/>
        <item x="2"/>
        <item t="default"/>
      </items>
    </pivotField>
    <pivotField compact="0" outline="0" showAll="0">
      <items count="6">
        <item x="3"/>
        <item x="2"/>
        <item x="0"/>
        <item x="1"/>
        <item x="4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dataField="1"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outline="0"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7" baseField="0" baseItem="0"/>
  </dataFields>
  <chartFormats count="5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7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7" format="2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7" format="2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8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5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8" format="26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8" format="27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9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9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9" format="30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9" format="3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1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7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1" format="38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1" format="39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2" format="4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4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2" format="4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2" format="4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3" format="4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45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3" format="46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3" format="47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5" format="5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53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5" format="54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5" format="55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6" format="5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57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6" format="58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6" format="59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ity" xr10:uid="{78E06C9B-3795-4B4B-9215-FB9D207A6C5B}" sourceName="City">
  <pivotTables>
    <pivotTable tabId="3" name="PivotTable1"/>
    <pivotTable tabId="5" name="PivotTable2"/>
    <pivotTable tabId="6" name="PivotTable3"/>
  </pivotTables>
  <data>
    <tabular pivotCacheId="1284329253">
      <items count="4">
        <i x="3" s="1"/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18347DD6-8B08-426F-A077-8DEEF7A3C128}" sourceName="Product">
  <pivotTables>
    <pivotTable tabId="3" name="PivotTable1"/>
    <pivotTable tabId="5" name="PivotTable2"/>
    <pivotTable tabId="6" name="PivotTable3"/>
  </pivotTables>
  <data>
    <tabular pivotCacheId="1284329253">
      <items count="5">
        <i x="3" s="1"/>
        <i x="2" s="1"/>
        <i x="0" s="1"/>
        <i x="1" s="1"/>
        <i x="4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ayment" xr10:uid="{21BA6B75-0F71-4E94-A78F-2BC3209FD1F6}" sourceName="Payment">
  <pivotTables>
    <pivotTable tabId="3" name="PivotTable1"/>
    <pivotTable tabId="5" name="PivotTable2"/>
    <pivotTable tabId="6" name="PivotTable3"/>
  </pivotTables>
  <data>
    <tabular pivotCacheId="1284329253">
      <items count="3">
        <i x="1" s="1"/>
        <i x="2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ity" xr10:uid="{9707C349-BC78-4CA1-A5CA-4BA6C510D389}" cache="Slicer_City" caption="City" rowHeight="228600"/>
  <slicer name="Product" xr10:uid="{78AF8E09-1933-4C57-88E6-B3BF434EBEF5}" cache="Slicer_Product" caption="Product" rowHeight="228600"/>
  <slicer name="Payment" xr10:uid="{455C7784-5D3F-4A3F-9574-168E03399C0F}" cache="Slicer_Payment" caption="Payment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ity 1" xr10:uid="{4565A59C-7754-41DD-803D-B3EFE6C39042}" cache="Slicer_City" caption="City" rowHeight="228600"/>
  <slicer name="Product 1" xr10:uid="{415077E7-3483-4B4F-8006-5430F8C0A956}" cache="Slicer_Product" caption="Product" rowHeight="228600"/>
  <slicer name="Payment 1" xr10:uid="{FB497C6C-9555-4183-9769-ED95CE503F2F}" cache="Slicer_Payment" caption="Payment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784267-DA59-491E-A54F-010A5F39D29D}" name="Table1" displayName="Table1" ref="A1:K41" totalsRowShown="0">
  <autoFilter ref="A1:K41" xr:uid="{DB784267-DA59-491E-A54F-010A5F39D29D}"/>
  <tableColumns count="11">
    <tableColumn id="1" xr3:uid="{48626C2C-FE79-431D-B748-B72FBC2AF615}" name="Order_ID"/>
    <tableColumn id="2" xr3:uid="{2CC61C87-595E-4926-91B4-1A19172FEB14}" name="Customer"/>
    <tableColumn id="3" xr3:uid="{1B6981F0-E791-4086-8D41-EE99735EC62B}" name="City"/>
    <tableColumn id="4" xr3:uid="{16EAC021-E414-4715-B3C4-3F183DAD9E50}" name="Product"/>
    <tableColumn id="5" xr3:uid="{74F25BFC-3C4E-4404-8821-68640AE319B8}" name="Category"/>
    <tableColumn id="6" xr3:uid="{82D4B664-1CB2-4648-AC99-37571E9452F7}" name="Price"/>
    <tableColumn id="7" xr3:uid="{33C56E76-CC03-4B55-B0B7-944DD1A9FB69}" name="Quantity"/>
    <tableColumn id="8" xr3:uid="{B85CBB2A-2DC5-41E1-9646-8AF47708F9E2}" name="Sales"/>
    <tableColumn id="9" xr3:uid="{DD489D7A-9C3F-4FAB-836F-F8A02D0F1F96}" name="Payment"/>
    <tableColumn id="10" xr3:uid="{014F6802-D4E0-4D16-90A1-2A926214B3E8}" name="Standard Price" dataDxfId="3">
      <calculatedColumnFormula>VLOOKUP(D2,Product_Master!A:B,2,FALSE)</calculatedColumnFormula>
    </tableColumn>
    <tableColumn id="11" xr3:uid="{74F5F905-5A48-4410-BFE1-9A0A59D5258E}" name="Sales Type" dataDxfId="2">
      <calculatedColumnFormula>IF(H2&gt;20000,"High","Low")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AA45EA-AF6C-4D15-99CF-5F22CB38A452}" name="Table2" displayName="Table2" ref="M1:O5" totalsRowShown="0">
  <autoFilter ref="M1:O5" xr:uid="{6DAA45EA-AF6C-4D15-99CF-5F22CB38A452}"/>
  <tableColumns count="3">
    <tableColumn id="1" xr3:uid="{640EDB4B-EAE3-44B1-8B38-AB00B3B76BFB}" name="City"/>
    <tableColumn id="2" xr3:uid="{814FBEC1-CDE5-4869-AE8D-C804ADD2D468}" name="Order" dataDxfId="1">
      <calculatedColumnFormula>COUNTIF(C2:C41,"Delhi")</calculatedColumnFormula>
    </tableColumn>
    <tableColumn id="3" xr3:uid="{1C63692E-03F5-4A37-A467-B5D31F125C7B}" name="Revenue" dataDxfId="0">
      <calculatedColumnFormula>SUMIF(Table1[[#This Row],[City]],"Delhi",Table1[[#This Row],[Sales]])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0F14C-8D4E-4A8D-9726-35E1FFD065B2}">
  <dimension ref="A3:B8"/>
  <sheetViews>
    <sheetView workbookViewId="0">
      <selection activeCell="M10" sqref="M10"/>
    </sheetView>
  </sheetViews>
  <sheetFormatPr defaultRowHeight="15"/>
  <cols>
    <col min="1" max="1" width="11.140625" bestFit="1" customWidth="1"/>
    <col min="2" max="2" width="12.28515625" bestFit="1" customWidth="1"/>
  </cols>
  <sheetData>
    <row r="3" spans="1:2">
      <c r="A3" s="2" t="s">
        <v>0</v>
      </c>
      <c r="B3" t="s">
        <v>1</v>
      </c>
    </row>
    <row r="4" spans="1:2">
      <c r="A4" t="s">
        <v>2</v>
      </c>
      <c r="B4" s="3">
        <v>173900</v>
      </c>
    </row>
    <row r="5" spans="1:2">
      <c r="A5" t="s">
        <v>3</v>
      </c>
      <c r="B5" s="3">
        <v>306600</v>
      </c>
    </row>
    <row r="6" spans="1:2">
      <c r="A6" t="s">
        <v>4</v>
      </c>
      <c r="B6" s="3">
        <v>243200</v>
      </c>
    </row>
    <row r="7" spans="1:2">
      <c r="A7" t="s">
        <v>5</v>
      </c>
      <c r="B7" s="3">
        <v>169200</v>
      </c>
    </row>
    <row r="8" spans="1:2">
      <c r="A8" t="s">
        <v>6</v>
      </c>
      <c r="B8" s="3">
        <v>892900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E26D9-81F6-44A9-9525-0EDD05FD72F9}">
  <dimension ref="A1:D5"/>
  <sheetViews>
    <sheetView tabSelected="1" topLeftCell="A2" workbookViewId="0">
      <selection activeCell="A3" sqref="A3:D3"/>
    </sheetView>
  </sheetViews>
  <sheetFormatPr defaultRowHeight="15"/>
  <cols>
    <col min="1" max="1" width="56" customWidth="1"/>
    <col min="2" max="2" width="48.5703125" customWidth="1"/>
    <col min="3" max="3" width="54.85546875" customWidth="1"/>
    <col min="4" max="4" width="49" customWidth="1"/>
  </cols>
  <sheetData>
    <row r="1" spans="1:4" ht="21">
      <c r="A1" s="13"/>
      <c r="B1" s="14"/>
      <c r="C1" s="14"/>
      <c r="D1" s="15"/>
    </row>
    <row r="2" spans="1:4" ht="24">
      <c r="A2" s="10"/>
      <c r="B2" s="11"/>
      <c r="C2" s="11"/>
      <c r="D2" s="12"/>
    </row>
    <row r="3" spans="1:4" ht="24">
      <c r="A3" s="6" t="s">
        <v>7</v>
      </c>
      <c r="B3" s="7" t="s">
        <v>8</v>
      </c>
      <c r="C3" s="7" t="s">
        <v>9</v>
      </c>
      <c r="D3" s="8" t="s">
        <v>10</v>
      </c>
    </row>
    <row r="4" spans="1:4" ht="26.25">
      <c r="A4" s="16">
        <f>SUM(Dataset!H2:H42)</f>
        <v>892900</v>
      </c>
      <c r="B4" s="4">
        <v>40</v>
      </c>
      <c r="C4" s="4">
        <f>AVERAGE(Dataset!H2:H43)</f>
        <v>22322.5</v>
      </c>
      <c r="D4" s="5">
        <v>15</v>
      </c>
    </row>
    <row r="5" spans="1:4" ht="26.25">
      <c r="B5" s="9"/>
      <c r="C5" s="9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6BCA7-0E3C-49E7-A851-3772FBD007E2}">
  <dimension ref="A3:B9"/>
  <sheetViews>
    <sheetView workbookViewId="0">
      <selection activeCell="B19" sqref="B19"/>
    </sheetView>
  </sheetViews>
  <sheetFormatPr defaultRowHeight="15"/>
  <cols>
    <col min="1" max="1" width="11.7109375" bestFit="1" customWidth="1"/>
    <col min="2" max="2" width="12.28515625" bestFit="1" customWidth="1"/>
  </cols>
  <sheetData>
    <row r="3" spans="1:2">
      <c r="A3" s="2" t="s">
        <v>11</v>
      </c>
      <c r="B3" t="s">
        <v>1</v>
      </c>
    </row>
    <row r="4" spans="1:2">
      <c r="A4" t="s">
        <v>12</v>
      </c>
      <c r="B4" s="3">
        <v>52700</v>
      </c>
    </row>
    <row r="5" spans="1:2">
      <c r="A5" t="s">
        <v>13</v>
      </c>
      <c r="B5" s="3">
        <v>61900</v>
      </c>
    </row>
    <row r="6" spans="1:2">
      <c r="A6" t="s">
        <v>14</v>
      </c>
      <c r="B6" s="3">
        <v>446000</v>
      </c>
    </row>
    <row r="7" spans="1:2">
      <c r="A7" t="s">
        <v>15</v>
      </c>
      <c r="B7" s="3">
        <v>259000</v>
      </c>
    </row>
    <row r="8" spans="1:2">
      <c r="A8" t="s">
        <v>16</v>
      </c>
      <c r="B8" s="3">
        <v>73300</v>
      </c>
    </row>
    <row r="9" spans="1:2">
      <c r="A9" t="s">
        <v>6</v>
      </c>
      <c r="B9" s="3">
        <v>892900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B17ED-D7DD-4621-90D0-CC56B35A38F3}">
  <dimension ref="A3:B7"/>
  <sheetViews>
    <sheetView workbookViewId="0">
      <selection activeCell="A12" sqref="A12"/>
    </sheetView>
  </sheetViews>
  <sheetFormatPr defaultRowHeight="15"/>
  <cols>
    <col min="1" max="1" width="11.85546875" bestFit="1" customWidth="1"/>
    <col min="2" max="2" width="12.28515625" bestFit="1" customWidth="1"/>
  </cols>
  <sheetData>
    <row r="3" spans="1:2">
      <c r="A3" s="2" t="s">
        <v>17</v>
      </c>
      <c r="B3" t="s">
        <v>1</v>
      </c>
    </row>
    <row r="4" spans="1:2">
      <c r="A4" t="s">
        <v>18</v>
      </c>
      <c r="B4" s="3">
        <v>250000</v>
      </c>
    </row>
    <row r="5" spans="1:2">
      <c r="A5" t="s">
        <v>19</v>
      </c>
      <c r="B5" s="3">
        <v>208400</v>
      </c>
    </row>
    <row r="6" spans="1:2">
      <c r="A6" t="s">
        <v>20</v>
      </c>
      <c r="B6" s="3">
        <v>434500</v>
      </c>
    </row>
    <row r="7" spans="1:2">
      <c r="A7" t="s">
        <v>6</v>
      </c>
      <c r="B7" s="3">
        <v>892900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workbookViewId="0"/>
  </sheetViews>
  <sheetFormatPr defaultRowHeight="15"/>
  <cols>
    <col min="1" max="1" width="11" bestFit="1" customWidth="1"/>
    <col min="2" max="2" width="12" bestFit="1" customWidth="1"/>
    <col min="3" max="3" width="9.42578125" bestFit="1" customWidth="1"/>
    <col min="4" max="4" width="11.7109375" bestFit="1" customWidth="1"/>
    <col min="5" max="5" width="11.140625" bestFit="1" customWidth="1"/>
    <col min="7" max="7" width="10.7109375" bestFit="1" customWidth="1"/>
    <col min="9" max="9" width="11" bestFit="1" customWidth="1"/>
    <col min="10" max="10" width="16.140625" bestFit="1" customWidth="1"/>
    <col min="11" max="11" width="12.5703125" bestFit="1" customWidth="1"/>
    <col min="13" max="13" width="13.28515625" bestFit="1" customWidth="1"/>
    <col min="14" max="14" width="27.28515625" bestFit="1" customWidth="1"/>
    <col min="15" max="15" width="10.85546875" bestFit="1" customWidth="1"/>
  </cols>
  <sheetData>
    <row r="1" spans="1:15">
      <c r="A1" t="s">
        <v>21</v>
      </c>
      <c r="B1" t="s">
        <v>22</v>
      </c>
      <c r="C1" t="s">
        <v>0</v>
      </c>
      <c r="D1" t="s">
        <v>11</v>
      </c>
      <c r="E1" t="s">
        <v>23</v>
      </c>
      <c r="F1" t="s">
        <v>24</v>
      </c>
      <c r="G1" t="s">
        <v>25</v>
      </c>
      <c r="H1" t="s">
        <v>26</v>
      </c>
      <c r="I1" t="s">
        <v>17</v>
      </c>
      <c r="J1" t="s">
        <v>27</v>
      </c>
      <c r="K1" t="s">
        <v>28</v>
      </c>
      <c r="M1" t="s">
        <v>0</v>
      </c>
      <c r="N1" t="s">
        <v>29</v>
      </c>
      <c r="O1" t="s">
        <v>30</v>
      </c>
    </row>
    <row r="2" spans="1:15">
      <c r="A2">
        <v>1001</v>
      </c>
      <c r="B2" t="s">
        <v>31</v>
      </c>
      <c r="C2" t="s">
        <v>3</v>
      </c>
      <c r="D2" t="s">
        <v>14</v>
      </c>
      <c r="E2" t="s">
        <v>32</v>
      </c>
      <c r="F2">
        <v>55000</v>
      </c>
      <c r="G2">
        <v>1</v>
      </c>
      <c r="H2">
        <v>55000</v>
      </c>
      <c r="I2" t="s">
        <v>20</v>
      </c>
      <c r="J2">
        <f>VLOOKUP(D2,Product_Master!A:B,2,FALSE)</f>
        <v>55000</v>
      </c>
      <c r="K2" t="str">
        <f t="shared" ref="K2:K41" si="0">IF(H2&gt;20000,"High","Low")</f>
        <v>High</v>
      </c>
      <c r="M2" t="s">
        <v>3</v>
      </c>
      <c r="N2">
        <f t="shared" ref="N2:N5" si="1">COUNTIF(C2:C41,"Delhi")</f>
        <v>14</v>
      </c>
      <c r="O2">
        <f>SUMIF(Table1[[#This Row],[City]],"Delhi",Table1[[#This Row],[Sales]])</f>
        <v>55000</v>
      </c>
    </row>
    <row r="3" spans="1:15">
      <c r="A3">
        <v>1002</v>
      </c>
      <c r="B3" t="s">
        <v>33</v>
      </c>
      <c r="C3" t="s">
        <v>4</v>
      </c>
      <c r="D3" t="s">
        <v>15</v>
      </c>
      <c r="E3" t="s">
        <v>32</v>
      </c>
      <c r="F3">
        <v>20000</v>
      </c>
      <c r="G3">
        <v>2</v>
      </c>
      <c r="H3">
        <v>40000</v>
      </c>
      <c r="I3" t="s">
        <v>18</v>
      </c>
      <c r="J3">
        <f>VLOOKUP(D3,Product_Master!A:B,2,FALSE)</f>
        <v>22000</v>
      </c>
      <c r="K3" t="str">
        <f t="shared" si="0"/>
        <v>High</v>
      </c>
      <c r="M3" t="s">
        <v>4</v>
      </c>
      <c r="N3">
        <f>COUNTIF(C2:C41,"Mumbai")</f>
        <v>9</v>
      </c>
      <c r="O3">
        <f>SUMIF(Table1[[#This Row],[City]],"Mumbai",Table1[[#This Row],[Sales]])</f>
        <v>40000</v>
      </c>
    </row>
    <row r="4" spans="1:15">
      <c r="A4">
        <v>1003</v>
      </c>
      <c r="B4" t="s">
        <v>34</v>
      </c>
      <c r="C4" t="s">
        <v>3</v>
      </c>
      <c r="D4" t="s">
        <v>13</v>
      </c>
      <c r="E4" t="s">
        <v>32</v>
      </c>
      <c r="F4">
        <v>3000</v>
      </c>
      <c r="G4">
        <v>3</v>
      </c>
      <c r="H4">
        <v>9000</v>
      </c>
      <c r="I4" t="s">
        <v>19</v>
      </c>
      <c r="J4">
        <f>VLOOKUP(D4,Product_Master!A:B,2,FALSE)</f>
        <v>3200</v>
      </c>
      <c r="K4" t="str">
        <f t="shared" si="0"/>
        <v>Low</v>
      </c>
      <c r="M4" t="s">
        <v>5</v>
      </c>
      <c r="N4">
        <f>COUNTIF(C2:C41,"Pune")</f>
        <v>8</v>
      </c>
      <c r="O4">
        <f>SUMIF(C2:C41,"Pune",H2:H41)</f>
        <v>169200</v>
      </c>
    </row>
    <row r="5" spans="1:15">
      <c r="A5">
        <v>1004</v>
      </c>
      <c r="B5" t="s">
        <v>35</v>
      </c>
      <c r="C5" t="s">
        <v>5</v>
      </c>
      <c r="D5" t="s">
        <v>12</v>
      </c>
      <c r="E5" t="s">
        <v>36</v>
      </c>
      <c r="F5">
        <v>4500</v>
      </c>
      <c r="G5">
        <v>2</v>
      </c>
      <c r="H5">
        <v>9000</v>
      </c>
      <c r="I5" t="s">
        <v>20</v>
      </c>
      <c r="J5">
        <f>VLOOKUP(D5,Product_Master!A:B,2,FALSE)</f>
        <v>4800</v>
      </c>
      <c r="K5" t="str">
        <f t="shared" si="0"/>
        <v>Low</v>
      </c>
      <c r="M5" t="s">
        <v>2</v>
      </c>
      <c r="N5">
        <f>COUNTIF(C2:C41,"Bangalore")</f>
        <v>9</v>
      </c>
      <c r="O5">
        <f>SUMIF(C2:C41,"Bangalore",H2:H41)</f>
        <v>173900</v>
      </c>
    </row>
    <row r="6" spans="1:15">
      <c r="A6">
        <v>1005</v>
      </c>
      <c r="B6" t="s">
        <v>37</v>
      </c>
      <c r="C6" t="s">
        <v>3</v>
      </c>
      <c r="D6" t="s">
        <v>16</v>
      </c>
      <c r="E6" t="s">
        <v>36</v>
      </c>
      <c r="F6">
        <v>7000</v>
      </c>
      <c r="G6">
        <v>1</v>
      </c>
      <c r="H6">
        <v>7000</v>
      </c>
      <c r="I6" t="s">
        <v>18</v>
      </c>
      <c r="J6">
        <f>VLOOKUP(D6,Product_Master!A:B,2,FALSE)</f>
        <v>7500</v>
      </c>
      <c r="K6" t="str">
        <f t="shared" si="0"/>
        <v>Low</v>
      </c>
    </row>
    <row r="7" spans="1:15">
      <c r="A7">
        <v>1006</v>
      </c>
      <c r="B7" t="s">
        <v>38</v>
      </c>
      <c r="C7" t="s">
        <v>2</v>
      </c>
      <c r="D7" t="s">
        <v>14</v>
      </c>
      <c r="E7" t="s">
        <v>32</v>
      </c>
      <c r="F7">
        <v>56000</v>
      </c>
      <c r="G7">
        <v>1</v>
      </c>
      <c r="H7">
        <v>56000</v>
      </c>
      <c r="I7" t="s">
        <v>20</v>
      </c>
      <c r="J7">
        <f>VLOOKUP(D7,Product_Master!A:B,2,FALSE)</f>
        <v>55000</v>
      </c>
      <c r="K7" t="str">
        <f t="shared" si="0"/>
        <v>High</v>
      </c>
    </row>
    <row r="8" spans="1:15">
      <c r="A8">
        <v>1007</v>
      </c>
      <c r="B8" t="s">
        <v>39</v>
      </c>
      <c r="C8" t="s">
        <v>4</v>
      </c>
      <c r="D8" t="s">
        <v>15</v>
      </c>
      <c r="E8" t="s">
        <v>32</v>
      </c>
      <c r="F8">
        <v>22000</v>
      </c>
      <c r="G8">
        <v>2</v>
      </c>
      <c r="H8">
        <v>44000</v>
      </c>
      <c r="I8" t="s">
        <v>19</v>
      </c>
      <c r="J8">
        <f>VLOOKUP(D8,Product_Master!A:B,2,FALSE)</f>
        <v>22000</v>
      </c>
      <c r="K8" t="str">
        <f t="shared" si="0"/>
        <v>High</v>
      </c>
    </row>
    <row r="9" spans="1:15">
      <c r="A9">
        <v>1008</v>
      </c>
      <c r="B9" t="s">
        <v>40</v>
      </c>
      <c r="C9" t="s">
        <v>5</v>
      </c>
      <c r="D9" t="s">
        <v>12</v>
      </c>
      <c r="E9" t="s">
        <v>36</v>
      </c>
      <c r="F9">
        <v>4800</v>
      </c>
      <c r="G9">
        <v>1</v>
      </c>
      <c r="H9">
        <v>4800</v>
      </c>
      <c r="I9" t="s">
        <v>20</v>
      </c>
      <c r="J9">
        <f>VLOOKUP(D9,Product_Master!A:B,2,FALSE)</f>
        <v>4800</v>
      </c>
      <c r="K9" t="str">
        <f t="shared" si="0"/>
        <v>Low</v>
      </c>
    </row>
    <row r="10" spans="1:15">
      <c r="A10">
        <v>1009</v>
      </c>
      <c r="B10" t="s">
        <v>41</v>
      </c>
      <c r="C10" t="s">
        <v>3</v>
      </c>
      <c r="D10" t="s">
        <v>16</v>
      </c>
      <c r="E10" t="s">
        <v>36</v>
      </c>
      <c r="F10">
        <v>7500</v>
      </c>
      <c r="G10">
        <v>1</v>
      </c>
      <c r="H10">
        <v>7500</v>
      </c>
      <c r="I10" t="s">
        <v>18</v>
      </c>
      <c r="J10">
        <f>VLOOKUP(D10,Product_Master!A:B,2,FALSE)</f>
        <v>7500</v>
      </c>
      <c r="K10" t="str">
        <f t="shared" si="0"/>
        <v>Low</v>
      </c>
    </row>
    <row r="11" spans="1:15">
      <c r="A11">
        <v>1010</v>
      </c>
      <c r="B11" t="s">
        <v>42</v>
      </c>
      <c r="C11" t="s">
        <v>2</v>
      </c>
      <c r="D11" t="s">
        <v>13</v>
      </c>
      <c r="E11" t="s">
        <v>32</v>
      </c>
      <c r="F11">
        <v>3200</v>
      </c>
      <c r="G11">
        <v>2</v>
      </c>
      <c r="H11">
        <v>6400</v>
      </c>
      <c r="I11" t="s">
        <v>20</v>
      </c>
      <c r="J11">
        <f>VLOOKUP(D11,Product_Master!A:B,2,FALSE)</f>
        <v>3200</v>
      </c>
      <c r="K11" t="str">
        <f t="shared" si="0"/>
        <v>Low</v>
      </c>
    </row>
    <row r="12" spans="1:15">
      <c r="A12">
        <v>1011</v>
      </c>
      <c r="B12" t="s">
        <v>43</v>
      </c>
      <c r="C12" t="s">
        <v>3</v>
      </c>
      <c r="D12" t="s">
        <v>14</v>
      </c>
      <c r="E12" t="s">
        <v>32</v>
      </c>
      <c r="F12">
        <v>54000</v>
      </c>
      <c r="G12">
        <v>1</v>
      </c>
      <c r="H12">
        <v>54000</v>
      </c>
      <c r="I12" t="s">
        <v>18</v>
      </c>
      <c r="J12">
        <f>VLOOKUP(D12,Product_Master!A:B,2,FALSE)</f>
        <v>55000</v>
      </c>
      <c r="K12" t="str">
        <f t="shared" si="0"/>
        <v>High</v>
      </c>
    </row>
    <row r="13" spans="1:15">
      <c r="A13">
        <v>1012</v>
      </c>
      <c r="B13" t="s">
        <v>44</v>
      </c>
      <c r="C13" t="s">
        <v>4</v>
      </c>
      <c r="D13" t="s">
        <v>15</v>
      </c>
      <c r="E13" t="s">
        <v>32</v>
      </c>
      <c r="F13">
        <v>21000</v>
      </c>
      <c r="G13">
        <v>1</v>
      </c>
      <c r="H13">
        <v>21000</v>
      </c>
      <c r="I13" t="s">
        <v>20</v>
      </c>
      <c r="J13">
        <f>VLOOKUP(D13,Product_Master!A:B,2,FALSE)</f>
        <v>22000</v>
      </c>
      <c r="K13" t="str">
        <f t="shared" si="0"/>
        <v>High</v>
      </c>
    </row>
    <row r="14" spans="1:15">
      <c r="A14">
        <v>1013</v>
      </c>
      <c r="B14" t="s">
        <v>45</v>
      </c>
      <c r="C14" t="s">
        <v>5</v>
      </c>
      <c r="D14" t="s">
        <v>16</v>
      </c>
      <c r="E14" t="s">
        <v>36</v>
      </c>
      <c r="F14">
        <v>7200</v>
      </c>
      <c r="G14">
        <v>2</v>
      </c>
      <c r="H14">
        <v>14400</v>
      </c>
      <c r="I14" t="s">
        <v>19</v>
      </c>
      <c r="J14">
        <f>VLOOKUP(D14,Product_Master!A:B,2,FALSE)</f>
        <v>7500</v>
      </c>
      <c r="K14" t="str">
        <f t="shared" si="0"/>
        <v>Low</v>
      </c>
    </row>
    <row r="15" spans="1:15">
      <c r="A15">
        <v>1014</v>
      </c>
      <c r="B15" t="s">
        <v>46</v>
      </c>
      <c r="C15" t="s">
        <v>3</v>
      </c>
      <c r="D15" t="s">
        <v>12</v>
      </c>
      <c r="E15" t="s">
        <v>36</v>
      </c>
      <c r="F15">
        <v>4600</v>
      </c>
      <c r="G15">
        <v>1</v>
      </c>
      <c r="H15">
        <v>4600</v>
      </c>
      <c r="I15" t="s">
        <v>20</v>
      </c>
      <c r="J15">
        <f>VLOOKUP(D15,Product_Master!A:B,2,FALSE)</f>
        <v>4800</v>
      </c>
      <c r="K15" t="str">
        <f t="shared" si="0"/>
        <v>Low</v>
      </c>
    </row>
    <row r="16" spans="1:15">
      <c r="A16">
        <v>1015</v>
      </c>
      <c r="B16" t="s">
        <v>47</v>
      </c>
      <c r="C16" t="s">
        <v>2</v>
      </c>
      <c r="D16" t="s">
        <v>13</v>
      </c>
      <c r="E16" t="s">
        <v>32</v>
      </c>
      <c r="F16">
        <v>3500</v>
      </c>
      <c r="G16">
        <v>2</v>
      </c>
      <c r="H16">
        <v>7000</v>
      </c>
      <c r="I16" t="s">
        <v>18</v>
      </c>
      <c r="J16">
        <f>VLOOKUP(D16,Product_Master!A:B,2,FALSE)</f>
        <v>3200</v>
      </c>
      <c r="K16" t="str">
        <f t="shared" si="0"/>
        <v>Low</v>
      </c>
    </row>
    <row r="17" spans="1:11">
      <c r="A17">
        <v>1016</v>
      </c>
      <c r="B17" t="s">
        <v>48</v>
      </c>
      <c r="C17" t="s">
        <v>4</v>
      </c>
      <c r="D17" t="s">
        <v>14</v>
      </c>
      <c r="E17" t="s">
        <v>32</v>
      </c>
      <c r="F17">
        <v>57000</v>
      </c>
      <c r="G17">
        <v>1</v>
      </c>
      <c r="H17">
        <v>57000</v>
      </c>
      <c r="I17" t="s">
        <v>20</v>
      </c>
      <c r="J17">
        <f>VLOOKUP(D17,Product_Master!A:B,2,FALSE)</f>
        <v>55000</v>
      </c>
      <c r="K17" t="str">
        <f t="shared" si="0"/>
        <v>High</v>
      </c>
    </row>
    <row r="18" spans="1:11">
      <c r="A18">
        <v>1017</v>
      </c>
      <c r="B18" t="s">
        <v>49</v>
      </c>
      <c r="C18" t="s">
        <v>3</v>
      </c>
      <c r="D18" t="s">
        <v>15</v>
      </c>
      <c r="E18" t="s">
        <v>32</v>
      </c>
      <c r="F18">
        <v>23000</v>
      </c>
      <c r="G18">
        <v>1</v>
      </c>
      <c r="H18">
        <v>23000</v>
      </c>
      <c r="I18" t="s">
        <v>19</v>
      </c>
      <c r="J18">
        <f>VLOOKUP(D18,Product_Master!A:B,2,FALSE)</f>
        <v>22000</v>
      </c>
      <c r="K18" t="str">
        <f t="shared" si="0"/>
        <v>High</v>
      </c>
    </row>
    <row r="19" spans="1:11">
      <c r="A19">
        <v>1018</v>
      </c>
      <c r="B19" t="s">
        <v>50</v>
      </c>
      <c r="C19" t="s">
        <v>5</v>
      </c>
      <c r="D19" t="s">
        <v>12</v>
      </c>
      <c r="E19" t="s">
        <v>36</v>
      </c>
      <c r="F19">
        <v>5000</v>
      </c>
      <c r="G19">
        <v>2</v>
      </c>
      <c r="H19">
        <v>10000</v>
      </c>
      <c r="I19" t="s">
        <v>20</v>
      </c>
      <c r="J19">
        <f>VLOOKUP(D19,Product_Master!A:B,2,FALSE)</f>
        <v>4800</v>
      </c>
      <c r="K19" t="str">
        <f t="shared" si="0"/>
        <v>Low</v>
      </c>
    </row>
    <row r="20" spans="1:11">
      <c r="A20">
        <v>1019</v>
      </c>
      <c r="B20" t="s">
        <v>51</v>
      </c>
      <c r="C20" t="s">
        <v>2</v>
      </c>
      <c r="D20" t="s">
        <v>16</v>
      </c>
      <c r="E20" t="s">
        <v>36</v>
      </c>
      <c r="F20">
        <v>7600</v>
      </c>
      <c r="G20">
        <v>1</v>
      </c>
      <c r="H20">
        <v>7600</v>
      </c>
      <c r="I20" t="s">
        <v>18</v>
      </c>
      <c r="J20">
        <f>VLOOKUP(D20,Product_Master!A:B,2,FALSE)</f>
        <v>7500</v>
      </c>
      <c r="K20" t="str">
        <f t="shared" si="0"/>
        <v>Low</v>
      </c>
    </row>
    <row r="21" spans="1:11">
      <c r="A21">
        <v>1020</v>
      </c>
      <c r="B21" t="s">
        <v>52</v>
      </c>
      <c r="C21" t="s">
        <v>3</v>
      </c>
      <c r="D21" t="s">
        <v>13</v>
      </c>
      <c r="E21" t="s">
        <v>32</v>
      </c>
      <c r="F21">
        <v>3100</v>
      </c>
      <c r="G21">
        <v>3</v>
      </c>
      <c r="H21">
        <v>9300</v>
      </c>
      <c r="I21" t="s">
        <v>20</v>
      </c>
      <c r="J21">
        <f>VLOOKUP(D21,Product_Master!A:B,2,FALSE)</f>
        <v>3200</v>
      </c>
      <c r="K21" t="str">
        <f t="shared" si="0"/>
        <v>Low</v>
      </c>
    </row>
    <row r="22" spans="1:11">
      <c r="A22">
        <v>1021</v>
      </c>
      <c r="B22" t="s">
        <v>53</v>
      </c>
      <c r="C22" t="s">
        <v>4</v>
      </c>
      <c r="D22" t="s">
        <v>14</v>
      </c>
      <c r="E22" t="s">
        <v>32</v>
      </c>
      <c r="F22">
        <v>55000</v>
      </c>
      <c r="G22">
        <v>1</v>
      </c>
      <c r="H22">
        <v>55000</v>
      </c>
      <c r="I22" t="s">
        <v>18</v>
      </c>
      <c r="J22">
        <f>VLOOKUP(D22,Product_Master!A:B,2,FALSE)</f>
        <v>55000</v>
      </c>
      <c r="K22" t="str">
        <f t="shared" si="0"/>
        <v>High</v>
      </c>
    </row>
    <row r="23" spans="1:11">
      <c r="A23">
        <v>1022</v>
      </c>
      <c r="B23" t="s">
        <v>54</v>
      </c>
      <c r="C23" t="s">
        <v>5</v>
      </c>
      <c r="D23" t="s">
        <v>15</v>
      </c>
      <c r="E23" t="s">
        <v>32</v>
      </c>
      <c r="F23">
        <v>20000</v>
      </c>
      <c r="G23">
        <v>1</v>
      </c>
      <c r="H23">
        <v>20000</v>
      </c>
      <c r="I23" t="s">
        <v>20</v>
      </c>
      <c r="J23">
        <f>VLOOKUP(D23,Product_Master!A:B,2,FALSE)</f>
        <v>22000</v>
      </c>
      <c r="K23" t="str">
        <f t="shared" si="0"/>
        <v>Low</v>
      </c>
    </row>
    <row r="24" spans="1:11">
      <c r="A24">
        <v>1023</v>
      </c>
      <c r="B24" t="s">
        <v>55</v>
      </c>
      <c r="C24" t="s">
        <v>3</v>
      </c>
      <c r="D24" t="s">
        <v>16</v>
      </c>
      <c r="E24" t="s">
        <v>36</v>
      </c>
      <c r="F24">
        <v>7100</v>
      </c>
      <c r="G24">
        <v>1</v>
      </c>
      <c r="H24">
        <v>7100</v>
      </c>
      <c r="I24" t="s">
        <v>19</v>
      </c>
      <c r="J24">
        <f>VLOOKUP(D24,Product_Master!A:B,2,FALSE)</f>
        <v>7500</v>
      </c>
      <c r="K24" t="str">
        <f t="shared" si="0"/>
        <v>Low</v>
      </c>
    </row>
    <row r="25" spans="1:11">
      <c r="A25">
        <v>1024</v>
      </c>
      <c r="B25" t="s">
        <v>56</v>
      </c>
      <c r="C25" t="s">
        <v>2</v>
      </c>
      <c r="D25" t="s">
        <v>12</v>
      </c>
      <c r="E25" t="s">
        <v>36</v>
      </c>
      <c r="F25">
        <v>4800</v>
      </c>
      <c r="G25">
        <v>2</v>
      </c>
      <c r="H25">
        <v>9600</v>
      </c>
      <c r="I25" t="s">
        <v>20</v>
      </c>
      <c r="J25">
        <f>VLOOKUP(D25,Product_Master!A:B,2,FALSE)</f>
        <v>4800</v>
      </c>
      <c r="K25" t="str">
        <f t="shared" si="0"/>
        <v>Low</v>
      </c>
    </row>
    <row r="26" spans="1:11">
      <c r="A26">
        <v>1025</v>
      </c>
      <c r="B26" t="s">
        <v>57</v>
      </c>
      <c r="C26" t="s">
        <v>4</v>
      </c>
      <c r="D26" t="s">
        <v>13</v>
      </c>
      <c r="E26" t="s">
        <v>32</v>
      </c>
      <c r="F26">
        <v>3300</v>
      </c>
      <c r="G26">
        <v>2</v>
      </c>
      <c r="H26">
        <v>6600</v>
      </c>
      <c r="I26" t="s">
        <v>18</v>
      </c>
      <c r="J26">
        <f>VLOOKUP(D26,Product_Master!A:B,2,FALSE)</f>
        <v>3200</v>
      </c>
      <c r="K26" t="str">
        <f t="shared" si="0"/>
        <v>Low</v>
      </c>
    </row>
    <row r="27" spans="1:11">
      <c r="A27">
        <v>1026</v>
      </c>
      <c r="B27" t="s">
        <v>58</v>
      </c>
      <c r="C27" t="s">
        <v>3</v>
      </c>
      <c r="D27" t="s">
        <v>14</v>
      </c>
      <c r="E27" t="s">
        <v>32</v>
      </c>
      <c r="F27">
        <v>56000</v>
      </c>
      <c r="G27">
        <v>1</v>
      </c>
      <c r="H27">
        <v>56000</v>
      </c>
      <c r="I27" t="s">
        <v>20</v>
      </c>
      <c r="J27">
        <f>VLOOKUP(D27,Product_Master!A:B,2,FALSE)</f>
        <v>55000</v>
      </c>
      <c r="K27" t="str">
        <f t="shared" si="0"/>
        <v>High</v>
      </c>
    </row>
    <row r="28" spans="1:11">
      <c r="A28">
        <v>1027</v>
      </c>
      <c r="B28" t="s">
        <v>59</v>
      </c>
      <c r="C28" t="s">
        <v>5</v>
      </c>
      <c r="D28" t="s">
        <v>15</v>
      </c>
      <c r="E28" t="s">
        <v>32</v>
      </c>
      <c r="F28">
        <v>22000</v>
      </c>
      <c r="G28">
        <v>2</v>
      </c>
      <c r="H28">
        <v>44000</v>
      </c>
      <c r="I28" t="s">
        <v>19</v>
      </c>
      <c r="J28">
        <f>VLOOKUP(D28,Product_Master!A:B,2,FALSE)</f>
        <v>22000</v>
      </c>
      <c r="K28" t="str">
        <f t="shared" si="0"/>
        <v>High</v>
      </c>
    </row>
    <row r="29" spans="1:11">
      <c r="A29">
        <v>1028</v>
      </c>
      <c r="B29" t="s">
        <v>60</v>
      </c>
      <c r="C29" t="s">
        <v>2</v>
      </c>
      <c r="D29" t="s">
        <v>16</v>
      </c>
      <c r="E29" t="s">
        <v>36</v>
      </c>
      <c r="F29">
        <v>7500</v>
      </c>
      <c r="G29">
        <v>1</v>
      </c>
      <c r="H29">
        <v>7500</v>
      </c>
      <c r="I29" t="s">
        <v>20</v>
      </c>
      <c r="J29">
        <f>VLOOKUP(D29,Product_Master!A:B,2,FALSE)</f>
        <v>7500</v>
      </c>
      <c r="K29" t="str">
        <f t="shared" si="0"/>
        <v>Low</v>
      </c>
    </row>
    <row r="30" spans="1:11">
      <c r="A30">
        <v>1029</v>
      </c>
      <c r="B30" t="s">
        <v>61</v>
      </c>
      <c r="C30" t="s">
        <v>3</v>
      </c>
      <c r="D30" t="s">
        <v>12</v>
      </c>
      <c r="E30" t="s">
        <v>36</v>
      </c>
      <c r="F30">
        <v>4700</v>
      </c>
      <c r="G30">
        <v>1</v>
      </c>
      <c r="H30">
        <v>4700</v>
      </c>
      <c r="I30" t="s">
        <v>18</v>
      </c>
      <c r="J30">
        <f>VLOOKUP(D30,Product_Master!A:B,2,FALSE)</f>
        <v>4800</v>
      </c>
      <c r="K30" t="str">
        <f t="shared" si="0"/>
        <v>Low</v>
      </c>
    </row>
    <row r="31" spans="1:11">
      <c r="A31">
        <v>1030</v>
      </c>
      <c r="B31" t="s">
        <v>62</v>
      </c>
      <c r="C31" t="s">
        <v>4</v>
      </c>
      <c r="D31" t="s">
        <v>13</v>
      </c>
      <c r="E31" t="s">
        <v>32</v>
      </c>
      <c r="F31">
        <v>3200</v>
      </c>
      <c r="G31">
        <v>3</v>
      </c>
      <c r="H31">
        <v>9600</v>
      </c>
      <c r="I31" t="s">
        <v>20</v>
      </c>
      <c r="J31">
        <f>VLOOKUP(D31,Product_Master!A:B,2,FALSE)</f>
        <v>3200</v>
      </c>
      <c r="K31" t="str">
        <f t="shared" si="0"/>
        <v>Low</v>
      </c>
    </row>
    <row r="32" spans="1:11">
      <c r="A32">
        <v>1031</v>
      </c>
      <c r="B32" t="s">
        <v>63</v>
      </c>
      <c r="C32" t="s">
        <v>3</v>
      </c>
      <c r="D32" t="s">
        <v>14</v>
      </c>
      <c r="E32" t="s">
        <v>32</v>
      </c>
      <c r="F32">
        <v>55000</v>
      </c>
      <c r="G32">
        <v>1</v>
      </c>
      <c r="H32">
        <v>55000</v>
      </c>
      <c r="I32" t="s">
        <v>19</v>
      </c>
      <c r="J32">
        <f>VLOOKUP(D32,Product_Master!A:B,2,FALSE)</f>
        <v>55000</v>
      </c>
      <c r="K32" t="str">
        <f t="shared" si="0"/>
        <v>High</v>
      </c>
    </row>
    <row r="33" spans="1:11">
      <c r="A33">
        <v>1032</v>
      </c>
      <c r="B33" t="s">
        <v>64</v>
      </c>
      <c r="C33" t="s">
        <v>5</v>
      </c>
      <c r="D33" t="s">
        <v>15</v>
      </c>
      <c r="E33" t="s">
        <v>32</v>
      </c>
      <c r="F33">
        <v>21000</v>
      </c>
      <c r="G33">
        <v>1</v>
      </c>
      <c r="H33">
        <v>21000</v>
      </c>
      <c r="I33" t="s">
        <v>20</v>
      </c>
      <c r="J33">
        <f>VLOOKUP(D33,Product_Master!A:B,2,FALSE)</f>
        <v>22000</v>
      </c>
      <c r="K33" t="str">
        <f t="shared" si="0"/>
        <v>High</v>
      </c>
    </row>
    <row r="34" spans="1:11">
      <c r="A34">
        <v>1033</v>
      </c>
      <c r="B34" t="s">
        <v>65</v>
      </c>
      <c r="C34" t="s">
        <v>2</v>
      </c>
      <c r="D34" t="s">
        <v>16</v>
      </c>
      <c r="E34" t="s">
        <v>36</v>
      </c>
      <c r="F34">
        <v>7300</v>
      </c>
      <c r="G34">
        <v>2</v>
      </c>
      <c r="H34">
        <v>14600</v>
      </c>
      <c r="I34" t="s">
        <v>18</v>
      </c>
      <c r="J34">
        <f>VLOOKUP(D34,Product_Master!A:B,2,FALSE)</f>
        <v>7500</v>
      </c>
      <c r="K34" t="str">
        <f t="shared" si="0"/>
        <v>Low</v>
      </c>
    </row>
    <row r="35" spans="1:11">
      <c r="A35">
        <v>1034</v>
      </c>
      <c r="B35" t="s">
        <v>66</v>
      </c>
      <c r="C35" t="s">
        <v>4</v>
      </c>
      <c r="D35" t="s">
        <v>12</v>
      </c>
      <c r="E35" t="s">
        <v>36</v>
      </c>
      <c r="F35">
        <v>4900</v>
      </c>
      <c r="G35">
        <v>1</v>
      </c>
      <c r="H35">
        <v>4900</v>
      </c>
      <c r="I35" t="s">
        <v>20</v>
      </c>
      <c r="J35">
        <f>VLOOKUP(D35,Product_Master!A:B,2,FALSE)</f>
        <v>4800</v>
      </c>
      <c r="K35" t="str">
        <f t="shared" si="0"/>
        <v>Low</v>
      </c>
    </row>
    <row r="36" spans="1:11">
      <c r="A36">
        <v>1035</v>
      </c>
      <c r="B36" t="s">
        <v>67</v>
      </c>
      <c r="C36" t="s">
        <v>3</v>
      </c>
      <c r="D36" t="s">
        <v>13</v>
      </c>
      <c r="E36" t="s">
        <v>32</v>
      </c>
      <c r="F36">
        <v>3400</v>
      </c>
      <c r="G36">
        <v>2</v>
      </c>
      <c r="H36">
        <v>6800</v>
      </c>
      <c r="I36" t="s">
        <v>19</v>
      </c>
      <c r="J36">
        <f>VLOOKUP(D36,Product_Master!A:B,2,FALSE)</f>
        <v>3200</v>
      </c>
      <c r="K36" t="str">
        <f t="shared" si="0"/>
        <v>Low</v>
      </c>
    </row>
    <row r="37" spans="1:11">
      <c r="A37">
        <v>1036</v>
      </c>
      <c r="B37" t="s">
        <v>68</v>
      </c>
      <c r="C37" t="s">
        <v>2</v>
      </c>
      <c r="D37" t="s">
        <v>14</v>
      </c>
      <c r="E37" t="s">
        <v>32</v>
      </c>
      <c r="F37">
        <v>58000</v>
      </c>
      <c r="G37">
        <v>1</v>
      </c>
      <c r="H37">
        <v>58000</v>
      </c>
      <c r="I37" t="s">
        <v>20</v>
      </c>
      <c r="J37">
        <f>VLOOKUP(D37,Product_Master!A:B,2,FALSE)</f>
        <v>55000</v>
      </c>
      <c r="K37" t="str">
        <f t="shared" si="0"/>
        <v>High</v>
      </c>
    </row>
    <row r="38" spans="1:11">
      <c r="A38">
        <v>1037</v>
      </c>
      <c r="B38" t="s">
        <v>69</v>
      </c>
      <c r="C38" t="s">
        <v>5</v>
      </c>
      <c r="D38" t="s">
        <v>15</v>
      </c>
      <c r="E38" t="s">
        <v>32</v>
      </c>
      <c r="F38">
        <v>23000</v>
      </c>
      <c r="G38">
        <v>2</v>
      </c>
      <c r="H38">
        <v>46000</v>
      </c>
      <c r="I38" t="s">
        <v>18</v>
      </c>
      <c r="J38">
        <f>VLOOKUP(D38,Product_Master!A:B,2,FALSE)</f>
        <v>22000</v>
      </c>
      <c r="K38" t="str">
        <f t="shared" si="0"/>
        <v>High</v>
      </c>
    </row>
    <row r="39" spans="1:11">
      <c r="A39">
        <v>1038</v>
      </c>
      <c r="B39" t="s">
        <v>70</v>
      </c>
      <c r="C39" t="s">
        <v>3</v>
      </c>
      <c r="D39" t="s">
        <v>16</v>
      </c>
      <c r="E39" t="s">
        <v>36</v>
      </c>
      <c r="F39">
        <v>7600</v>
      </c>
      <c r="G39">
        <v>1</v>
      </c>
      <c r="H39">
        <v>7600</v>
      </c>
      <c r="I39" t="s">
        <v>20</v>
      </c>
      <c r="J39">
        <f>VLOOKUP(D39,Product_Master!A:B,2,FALSE)</f>
        <v>7500</v>
      </c>
      <c r="K39" t="str">
        <f t="shared" si="0"/>
        <v>Low</v>
      </c>
    </row>
    <row r="40" spans="1:11">
      <c r="A40">
        <v>1039</v>
      </c>
      <c r="B40" t="s">
        <v>71</v>
      </c>
      <c r="C40" t="s">
        <v>4</v>
      </c>
      <c r="D40" t="s">
        <v>12</v>
      </c>
      <c r="E40" t="s">
        <v>36</v>
      </c>
      <c r="F40">
        <v>5100</v>
      </c>
      <c r="G40">
        <v>1</v>
      </c>
      <c r="H40">
        <v>5100</v>
      </c>
      <c r="I40" t="s">
        <v>19</v>
      </c>
      <c r="J40">
        <f>VLOOKUP(D40,Product_Master!A:B,2,FALSE)</f>
        <v>4800</v>
      </c>
      <c r="K40" t="str">
        <f t="shared" si="0"/>
        <v>Low</v>
      </c>
    </row>
    <row r="41" spans="1:11">
      <c r="A41">
        <v>1040</v>
      </c>
      <c r="B41" t="s">
        <v>72</v>
      </c>
      <c r="C41" t="s">
        <v>2</v>
      </c>
      <c r="D41" t="s">
        <v>13</v>
      </c>
      <c r="E41" t="s">
        <v>32</v>
      </c>
      <c r="F41">
        <v>3600</v>
      </c>
      <c r="G41">
        <v>2</v>
      </c>
      <c r="H41">
        <v>7200</v>
      </c>
      <c r="I41" t="s">
        <v>20</v>
      </c>
      <c r="J41">
        <f>VLOOKUP(D41,Product_Master!A:B,2,FALSE)</f>
        <v>3200</v>
      </c>
      <c r="K41" t="str">
        <f t="shared" si="0"/>
        <v>Low</v>
      </c>
    </row>
  </sheetData>
  <conditionalFormatting sqref="K2:K41">
    <cfRule type="containsText" dxfId="5" priority="2" operator="containsText" text="High">
      <formula>NOT(ISERROR(SEARCH("High",K2)))</formula>
    </cfRule>
  </conditionalFormatting>
  <conditionalFormatting sqref="K4:K41">
    <cfRule type="containsText" dxfId="4" priority="1" operator="containsText" text="Low">
      <formula>NOT(ISERROR(SEARCH("Low",K4)))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F8977-A4C1-4DEB-8608-0D5E0C9D6DD4}">
  <dimension ref="A1:B6"/>
  <sheetViews>
    <sheetView workbookViewId="0">
      <selection sqref="A1:B6"/>
    </sheetView>
  </sheetViews>
  <sheetFormatPr defaultRowHeight="15"/>
  <cols>
    <col min="1" max="1" width="11.7109375" bestFit="1" customWidth="1"/>
    <col min="2" max="2" width="13.85546875" bestFit="1" customWidth="1"/>
  </cols>
  <sheetData>
    <row r="1" spans="1:2">
      <c r="A1" s="1" t="s">
        <v>11</v>
      </c>
      <c r="B1" s="1" t="s">
        <v>27</v>
      </c>
    </row>
    <row r="2" spans="1:2">
      <c r="A2" t="s">
        <v>14</v>
      </c>
      <c r="B2">
        <v>55000</v>
      </c>
    </row>
    <row r="3" spans="1:2">
      <c r="A3" t="s">
        <v>15</v>
      </c>
      <c r="B3">
        <v>22000</v>
      </c>
    </row>
    <row r="4" spans="1:2">
      <c r="A4" t="s">
        <v>13</v>
      </c>
      <c r="B4">
        <v>3200</v>
      </c>
    </row>
    <row r="5" spans="1:2">
      <c r="A5" t="s">
        <v>12</v>
      </c>
      <c r="B5">
        <v>4800</v>
      </c>
    </row>
    <row r="6" spans="1:2">
      <c r="A6" t="s">
        <v>16</v>
      </c>
      <c r="B6">
        <v>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anupriya sharma</cp:lastModifiedBy>
  <cp:revision/>
  <dcterms:created xsi:type="dcterms:W3CDTF">2026-03-08T15:33:07Z</dcterms:created>
  <dcterms:modified xsi:type="dcterms:W3CDTF">2026-03-08T18:50:54Z</dcterms:modified>
  <cp:category/>
  <cp:contentStatus/>
</cp:coreProperties>
</file>